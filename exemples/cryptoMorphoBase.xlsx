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<sst xmlns="http://schemas.openxmlformats.org/spreadsheetml/2006/main" count="25" uniqueCount="25">
  <si>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</si>
  <si>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</si>
  <si>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</si>
  <si>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</si>
  <si>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</si>
  <si>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</si>
  <si>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</si>
  <si>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</si>
  <si>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</si>
  <si>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</si>
  <si>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</si>
  <si>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</si>
  <si>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</si>
  <si>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</si>
  <si>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MORPHO</t>
  </si>
  <si>
    <t xml:space="preserve">0xBAa5CC21fd487B8Fcc2F632f3F4E8D37262a0842</t>
  </si>
  <si>
    <t xml:space="preserve">base</t>
  </si>
  <si>
    <t xml:space="preserve">MORPHOUSDT</t>
  </si>
  <si>
    <t xml:space="preserve">USDC</t>
  </si>
  <si>
    <t xml:space="preserve">0x833589fCD6eDb6E08f4c7C32D4f71b54bdA02913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</si>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</sst>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D17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53"/>
    <col collapsed="false" customWidth="true" hidden="false" outlineLevel="0" max="3" min="3" style="1" width="22.12"/>
    <col collapsed="false" customWidth="true" hidden="false" outlineLevel="0" max="4" min="4" style="1" width="9.87"/>
    <col collapsed="false" customWidth="true" hidden="false" outlineLevel="0" max="5" min="5" style="1" width="13.35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20.17"/>
    <col collapsed="false" customWidth="true" hidden="false" outlineLevel="0" max="14" min="14" style="1" width="9.04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1</v>
      </c>
      <c r="E2" s="4" t="s">
        <v>16</v>
      </c>
      <c r="F2" s="4" t="s">
        <v>17</v>
      </c>
      <c r="G2" s="4" t="s">
        <v>18</v>
      </c>
      <c r="H2" s="4" t="s">
        <v>19</v>
      </c>
      <c r="I2" s="5" t="n">
        <f aca="false">MIN(A4:A9999)</f>
        <v>200000</v>
      </c>
      <c r="J2" s="6" t="n">
        <f aca="false">SUMPRODUCT(A4:A9999,B4:B9999)/SUM(B4:B9999)</f>
        <v>200000</v>
      </c>
      <c r="K2" s="5" t="n">
        <f aca="false">J2*(1+(C2/100))</f>
        <v>240000</v>
      </c>
      <c r="L2" s="6" t="n">
        <f aca="false">SUM(B4:B9999)</f>
        <v>1E-009</v>
      </c>
      <c r="M2" s="7" t="n">
        <f aca="false">COUNTA(A1:A9999)</f>
        <v>4</v>
      </c>
      <c r="N2" s="8" t="n">
        <v>18</v>
      </c>
    </row>
    <row r="3" customFormat="false" ht="12.75" hidden="false" customHeight="true" outlineLevel="0" collapsed="false">
      <c r="A3" s="9" t="s">
        <v>20</v>
      </c>
      <c r="B3" s="9" t="s">
        <v>21</v>
      </c>
      <c r="C3" s="9" t="s">
        <v>22</v>
      </c>
      <c r="D3" s="9" t="s">
        <v>23</v>
      </c>
      <c r="E3" s="10"/>
      <c r="I3" s="10"/>
    </row>
    <row r="4" customFormat="false" ht="12.75" hidden="false" customHeight="true" outlineLevel="0" collapsed="false">
      <c r="A4" s="11" t="n">
        <v>200000</v>
      </c>
      <c r="B4" s="11" t="n">
        <v>1E-009</v>
      </c>
      <c r="C4" s="12" t="n">
        <v>45962</v>
      </c>
      <c r="D4" s="13"/>
      <c r="G4" s="10"/>
      <c r="H4" s="1" t="s">
        <v>24</v>
      </c>
    </row>
    <row r="5" customFormat="false" ht="12.75" hidden="false" customHeight="true" outlineLevel="0" collapsed="false">
      <c r="A5" s="14"/>
      <c r="B5" s="14"/>
      <c r="C5" s="15"/>
    </row>
    <row r="6" customFormat="false" ht="12.75" hidden="false" customHeight="true" outlineLevel="0" collapsed="false">
      <c r="A6" s="14"/>
      <c r="B6" s="14"/>
    </row>
    <row r="7" customFormat="false" ht="12.75" hidden="false" customHeight="true" outlineLevel="0" collapsed="false">
      <c r="A7" s="14"/>
      <c r="B7" s="14"/>
    </row>
    <row r="8" customFormat="false" ht="12.75" hidden="false" customHeight="true" outlineLevel="0" collapsed="false">
      <c r="A8" s="14"/>
      <c r="B8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2025-11-02T22:57:02Z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