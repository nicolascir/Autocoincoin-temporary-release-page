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<sst xmlns="http://schemas.openxmlformats.org/spreadsheetml/2006/main" count="24" uniqueCount="24">
  <si>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</si>
  <si>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</si>
  <si>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</si>
  <si>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</si>
  <si>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</si>
  <si>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</si>
  <si>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</si>
  <si>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</si>
  <si>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</si>
  <si>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</si>
  <si>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</si>
  <si>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</si>
  <si>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</si>
  <si>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doge</t>
  </si>
  <si>
    <t xml:space="preserve">0xbA2aE424d960c26247Dd6c32edC70B295c744C43</t>
  </si>
  <si>
    <t xml:space="preserve">bnb</t>
  </si>
  <si>
    <t xml:space="preserve">DOGEUSDT</t>
  </si>
  <si>
    <t xml:space="preserve">USDT</t>
  </si>
  <si>
    <t xml:space="preserve">0x8ac76a51cc950d9822d68b83fe1ad97b32cd580d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</si>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</sst>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2" activeCellId="0" sqref="A5:D2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2</v>
      </c>
      <c r="E2" s="4" t="s">
        <v>15</v>
      </c>
      <c r="F2" s="4" t="s">
        <v>16</v>
      </c>
      <c r="G2" s="4" t="s">
        <v>17</v>
      </c>
      <c r="H2" s="5" t="s">
        <v>18</v>
      </c>
      <c r="I2" s="6" t="n">
        <f aca="false">MIN(A4:A9999)</f>
        <v>0.2675</v>
      </c>
      <c r="J2" s="7" t="n">
        <f aca="false">SUMPRODUCT(A4:A9999,B4:B9999)/SUM(B4:B9999)</f>
        <v>0.2675</v>
      </c>
      <c r="K2" s="6" t="n">
        <f aca="false">J2*(1+(C2/100))</f>
        <v>0.321</v>
      </c>
      <c r="L2" s="7" t="n">
        <f aca="false">SUM(B4:B9999)</f>
        <v>10</v>
      </c>
      <c r="M2" s="8" t="n">
        <f aca="false">COUNTA(A1:A9999)</f>
        <v>4</v>
      </c>
      <c r="N2" s="9" t="n">
        <v>8</v>
      </c>
    </row>
    <row r="3" customFormat="false" ht="12.75" hidden="false" customHeight="true" outlineLevel="0" collapsed="false">
      <c r="A3" s="10" t="s">
        <v>19</v>
      </c>
      <c r="B3" s="10" t="s">
        <v>20</v>
      </c>
      <c r="C3" s="10" t="s">
        <v>21</v>
      </c>
      <c r="D3" s="10" t="s">
        <v>22</v>
      </c>
      <c r="E3" s="11"/>
      <c r="I3" s="11"/>
    </row>
    <row r="4" customFormat="false" ht="12.75" hidden="false" customHeight="true" outlineLevel="0" collapsed="false">
      <c r="A4" s="12" t="n">
        <v>0.2675</v>
      </c>
      <c r="B4" s="12" t="n">
        <v>10</v>
      </c>
      <c r="C4" s="13" t="n">
        <v>45921</v>
      </c>
      <c r="D4" s="14"/>
      <c r="G4" s="11"/>
      <c r="H4" s="1" t="s">
        <v>23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2025-11-16T19:02:23Z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