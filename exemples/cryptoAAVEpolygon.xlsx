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<sst xmlns="http://schemas.openxmlformats.org/spreadsheetml/2006/main" count="51" uniqueCount="47">
  <si>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</si>
  <si>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</si>
  <si>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</si>
  <si>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</si>
  <si>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</si>
  <si>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</si>
  <si>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</si>
  <si>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</si>
  <si>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</si>
  <si>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</si>
  <si>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</si>
  <si>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</si>
  <si>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</si>
  <si>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</si>
  <si>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AAVE</t>
  </si>
  <si>
    <t xml:space="preserve">0xD6DF932A45C0f255f85145f286eA0b292B21C90B</t>
  </si>
  <si>
    <t xml:space="preserve">polygon</t>
  </si>
  <si>
    <t xml:space="preserve">AAVEUSDT</t>
  </si>
  <si>
    <t xml:space="preserve">USDT</t>
  </si>
  <si>
    <t xml:space="preserve">0x3c499c542cef5e3811e1192ce70d8cc03d5c3359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</si>
  <si>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</si>
  <si>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</si>
  <si>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</si>
  <si>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</si>
  <si>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</si>
  <si>
    <t xml:space="preserve">31/10/2025</t>
  </si>
  <si>
    <t xml:space="preserve">18:17:46</t>
  </si>
  <si>
    <t xml:space="preserve">18:28:14</t>
  </si>
  <si>
    <t xml:space="preserve">03/11/2025</t>
  </si>
  <si>
    <t xml:space="preserve">18:14:22</t>
  </si>
  <si>
    <t xml:space="preserve">04/11/2025</t>
  </si>
  <si>
    <t xml:space="preserve">01:35:24</t>
  </si>
  <si>
    <t xml:space="preserve">09:35:16</t>
  </si>
  <si>
    <t xml:space="preserve">14:35:16</t>
  </si>
  <si>
    <t xml:space="preserve">05/11/2025</t>
  </si>
  <si>
    <t xml:space="preserve">01:35:21</t>
  </si>
  <si>
    <t xml:space="preserve">14/11/2025</t>
  </si>
  <si>
    <t xml:space="preserve">14:00:17</t>
  </si>
  <si>
    <t xml:space="preserve">15/11/2025</t>
  </si>
  <si>
    <t xml:space="preserve">01:00:17</t>
  </si>
  <si>
    <t xml:space="preserve">18/11/2025</t>
  </si>
  <si>
    <t xml:space="preserve">01:00:18</t>
  </si>
  <si>
    <t xml:space="preserve">19/11/2025</t>
  </si>
  <si>
    <t xml:space="preserve">19:00:17</t>
  </si>
  <si>
    <t xml:space="preserve">20/11/2025</t>
  </si>
  <si>
    <t xml:space="preserve">19:00:16</t>
  </si>
  <si>
    <t xml:space="preserve">20:14:09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</si>
</sst>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5.3"/>
    <col collapsed="false" customWidth="true" hidden="false" outlineLevel="0" max="3" min="3" style="1" width="22.12"/>
    <col collapsed="false" customWidth="true" hidden="false" outlineLevel="0" max="4" min="4" style="1" width="12.24"/>
    <col collapsed="false" customWidth="true" hidden="false" outlineLevel="0" max="5" min="5" style="1" width="11.26"/>
    <col collapsed="false" customWidth="true" hidden="false" outlineLevel="0" max="6" min="6" style="1" width="10.57"/>
    <col collapsed="false" customWidth="true" hidden="false" outlineLevel="0" max="7" min="7" style="1" width="8.76"/>
    <col collapsed="false" customWidth="true" hidden="false" outlineLevel="0" max="8" min="8" style="1" width="13.75"/>
    <col collapsed="false" customWidth="false" hidden="false" outlineLevel="0" max="9" min="9" style="1" width="11.53"/>
    <col collapsed="false" customWidth="true" hidden="false" outlineLevel="0" max="10" min="10" style="1" width="9.18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6.96"/>
    <col collapsed="false" customWidth="true" hidden="false" outlineLevel="0" max="14" min="14" style="1" width="18.36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5" t="s">
        <v>15</v>
      </c>
      <c r="C2" s="4" t="n">
        <v>20</v>
      </c>
      <c r="D2" s="4" t="n">
        <v>3</v>
      </c>
      <c r="E2" s="4" t="s">
        <v>16</v>
      </c>
      <c r="F2" s="4" t="s">
        <v>17</v>
      </c>
      <c r="G2" s="4" t="s">
        <v>18</v>
      </c>
      <c r="H2" s="6" t="s">
        <v>19</v>
      </c>
      <c r="I2" s="7" t="n">
        <f aca="false">MIN(A4:A9999)</f>
        <v>2</v>
      </c>
      <c r="J2" s="8" t="n">
        <f aca="false">SUMPRODUCT(A4:A9999,B4:B9999)/SUM(B4:B9999)</f>
        <v>219.264442735569</v>
      </c>
      <c r="K2" s="7" t="n">
        <f aca="false">J2*(1+(C2/100))</f>
        <v>263.117331282682</v>
      </c>
      <c r="L2" s="8" t="n">
        <f aca="false">SUM(B4:B9999)</f>
        <v>97.53</v>
      </c>
      <c r="M2" s="9" t="n">
        <f aca="false">COUNTA(A1:A9999)</f>
        <v>20</v>
      </c>
      <c r="N2" s="10" t="n">
        <v>18</v>
      </c>
    </row>
    <row r="3" customFormat="false" ht="12.75" hidden="false" customHeight="true" outlineLevel="0" collapsed="false">
      <c r="A3" s="11" t="s">
        <v>20</v>
      </c>
      <c r="B3" s="11" t="s">
        <v>21</v>
      </c>
      <c r="C3" s="11" t="s">
        <v>22</v>
      </c>
      <c r="D3" s="11" t="s">
        <v>23</v>
      </c>
    </row>
    <row r="4" customFormat="false" ht="12.75" hidden="false" customHeight="true" outlineLevel="0" collapsed="false">
      <c r="A4" s="5" t="n">
        <v>2</v>
      </c>
      <c r="B4" s="5" t="n">
        <v>10</v>
      </c>
      <c r="C4" s="12" t="n">
        <v>45921</v>
      </c>
      <c r="D4" s="13"/>
      <c r="H4" s="1" t="s">
        <v>24</v>
      </c>
    </row>
    <row r="5" customFormat="false" ht="12.75" hidden="false" customHeight="true" outlineLevel="0" collapsed="false">
      <c r="A5" s="5" t="n">
        <v>267.27</v>
      </c>
      <c r="B5" s="5" t="n">
        <v>10</v>
      </c>
      <c r="C5" s="12" t="n">
        <v>45921</v>
      </c>
    </row>
    <row r="6" customFormat="false" ht="12.75" hidden="false" customHeight="true" outlineLevel="0" collapsed="false">
      <c r="A6" s="5" t="n">
        <v>262.93</v>
      </c>
      <c r="B6" s="5" t="n">
        <v>10</v>
      </c>
    </row>
    <row r="7" customFormat="false" ht="12.75" hidden="false" customHeight="true" outlineLevel="0" collapsed="false">
      <c r="A7" s="5" t="n">
        <v>261.87</v>
      </c>
      <c r="B7" s="5" t="n">
        <v>46.53</v>
      </c>
    </row>
    <row r="8" customFormat="false" ht="12.75" hidden="false" customHeight="true" outlineLevel="0" collapsed="false">
      <c r="A8" s="1" t="n">
        <v>213.86</v>
      </c>
      <c r="B8" s="1" t="n">
        <v>1</v>
      </c>
      <c r="C8" s="1" t="s">
        <v>25</v>
      </c>
      <c r="D8" s="1" t="s">
        <v>26</v>
      </c>
    </row>
    <row r="9" customFormat="false" ht="12.75" hidden="false" customHeight="true" outlineLevel="0" collapsed="false">
      <c r="A9" s="1" t="n">
        <v>213.38</v>
      </c>
      <c r="B9" s="1" t="n">
        <v>1</v>
      </c>
      <c r="C9" s="1" t="s">
        <v>25</v>
      </c>
      <c r="D9" s="1" t="s">
        <v>27</v>
      </c>
    </row>
    <row r="10" customFormat="false" ht="12.75" hidden="false" customHeight="true" outlineLevel="0" collapsed="false">
      <c r="A10" s="1" t="n">
        <v>204.23</v>
      </c>
      <c r="B10" s="1" t="n">
        <v>2</v>
      </c>
      <c r="C10" s="1" t="s">
        <v>28</v>
      </c>
      <c r="D10" s="1" t="s">
        <v>29</v>
      </c>
    </row>
    <row r="11" customFormat="false" ht="12.75" hidden="false" customHeight="true" outlineLevel="0" collapsed="false">
      <c r="A11" s="1" t="n">
        <v>200.35</v>
      </c>
      <c r="B11" s="1" t="n">
        <v>2</v>
      </c>
      <c r="C11" s="1" t="s">
        <v>30</v>
      </c>
      <c r="D11" s="1" t="s">
        <v>31</v>
      </c>
    </row>
    <row r="12" customFormat="false" ht="12.75" hidden="false" customHeight="true" outlineLevel="0" collapsed="false">
      <c r="A12" s="1" t="n">
        <v>197</v>
      </c>
      <c r="B12" s="1" t="n">
        <v>2</v>
      </c>
      <c r="C12" s="1" t="s">
        <v>30</v>
      </c>
      <c r="D12" s="1" t="s">
        <v>32</v>
      </c>
    </row>
    <row r="13" customFormat="false" ht="12.75" hidden="false" customHeight="true" outlineLevel="0" collapsed="false">
      <c r="A13" s="1" t="n">
        <v>195.72</v>
      </c>
      <c r="B13" s="1" t="n">
        <v>2</v>
      </c>
      <c r="C13" s="1" t="s">
        <v>30</v>
      </c>
      <c r="D13" s="1" t="s">
        <v>33</v>
      </c>
    </row>
    <row r="14" customFormat="false" ht="12.75" hidden="false" customHeight="true" outlineLevel="0" collapsed="false">
      <c r="A14" s="1" t="n">
        <v>186.5</v>
      </c>
      <c r="B14" s="1" t="n">
        <v>1</v>
      </c>
      <c r="C14" s="1" t="s">
        <v>34</v>
      </c>
      <c r="D14" s="1" t="s">
        <v>35</v>
      </c>
    </row>
    <row r="15" customFormat="false" ht="12.75" hidden="false" customHeight="true" outlineLevel="0" collapsed="false">
      <c r="A15" s="1" t="n">
        <v>177.83</v>
      </c>
      <c r="B15" s="1" t="n">
        <v>1</v>
      </c>
      <c r="C15" s="1" t="s">
        <v>36</v>
      </c>
      <c r="D15" s="1" t="s">
        <v>37</v>
      </c>
    </row>
    <row r="16" customFormat="false" ht="12.75" hidden="false" customHeight="true" outlineLevel="0" collapsed="false">
      <c r="A16" s="1" t="n">
        <v>173.98</v>
      </c>
      <c r="B16" s="1" t="n">
        <v>1</v>
      </c>
      <c r="C16" s="1" t="s">
        <v>38</v>
      </c>
      <c r="D16" s="1" t="s">
        <v>39</v>
      </c>
    </row>
    <row r="17" customFormat="false" ht="12.75" hidden="false" customHeight="true" outlineLevel="0" collapsed="false">
      <c r="A17" s="1" t="n">
        <v>169.12</v>
      </c>
      <c r="B17" s="1" t="n">
        <v>2</v>
      </c>
      <c r="C17" s="1" t="s">
        <v>40</v>
      </c>
      <c r="D17" s="1" t="s">
        <v>41</v>
      </c>
    </row>
    <row r="18" customFormat="false" ht="12.75" hidden="false" customHeight="true" outlineLevel="0" collapsed="false">
      <c r="A18" s="1" t="n">
        <v>166.38</v>
      </c>
      <c r="B18" s="1" t="n">
        <v>2</v>
      </c>
      <c r="C18" s="1" t="s">
        <v>42</v>
      </c>
      <c r="D18" s="1" t="s">
        <v>43</v>
      </c>
    </row>
    <row r="19" customFormat="false" ht="12.75" hidden="false" customHeight="false" outlineLevel="0" collapsed="false">
      <c r="A19" s="1" t="n">
        <v>162.34</v>
      </c>
      <c r="B19" s="1" t="n">
        <v>2</v>
      </c>
      <c r="C19" s="1" t="s">
        <v>44</v>
      </c>
      <c r="D19" s="1" t="s">
        <v>45</v>
      </c>
    </row>
    <row r="20" customFormat="false" ht="12.75" hidden="false" customHeight="false" outlineLevel="0" collapsed="false">
      <c r="A20" s="1" t="n">
        <v>161.11</v>
      </c>
      <c r="B20" s="1" t="n">
        <v>2</v>
      </c>
      <c r="C20" s="1" t="s">
        <v>44</v>
      </c>
      <c r="D20" s="1" t="s">
        <v>46</v>
      </c>
    </row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2025-11-21T10:53:12Z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