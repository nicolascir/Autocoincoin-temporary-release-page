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<sst xmlns="http://schemas.openxmlformats.org/spreadsheetml/2006/main" count="51" uniqueCount="47">
  <si>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</si>
  <si>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</si>
  <si>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</si>
  <si>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</si>
  <si>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</si>
  <si>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</si>
  <si>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</si>
  <si>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</si>
  <si>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</si>
  <si>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</si>
  <si>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</si>
  <si>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</si>
  <si>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</si>
  <si>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</si>
  <si>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pancakeswap</t>
  </si>
  <si>
    <t xml:space="preserve">0x3055913c90Fcc1A6CE9a358911721eEb942013A1</t>
  </si>
  <si>
    <t xml:space="preserve">base</t>
  </si>
  <si>
    <t xml:space="preserve">CAKEUSDT</t>
  </si>
  <si>
    <t xml:space="preserve">USDC</t>
  </si>
  <si>
    <t xml:space="preserve">0x833589fCD6eDb6E08f4c7C32D4f71b54bdA02913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</si>
  <si>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</si>
  <si>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</si>
  <si>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</si>
  <si>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</si>
  <si>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</si>
  <si>
    <t xml:space="preserve">10/11/2025</t>
  </si>
  <si>
    <t xml:space="preserve">21:22:02</t>
  </si>
  <si>
    <t xml:space="preserve">12/11/2025</t>
  </si>
  <si>
    <t xml:space="preserve">19:01:01</t>
  </si>
  <si>
    <t xml:space="preserve">13/11/2025</t>
  </si>
  <si>
    <t xml:space="preserve">19:03:48</t>
  </si>
  <si>
    <t xml:space="preserve">21:31:55</t>
  </si>
  <si>
    <t xml:space="preserve">14/11/2025</t>
  </si>
  <si>
    <t xml:space="preserve">14:01:39</t>
  </si>
  <si>
    <t xml:space="preserve">18/11/2025</t>
  </si>
  <si>
    <t xml:space="preserve">01:01:43</t>
  </si>
  <si>
    <t xml:space="preserve">19/11/2025</t>
  </si>
  <si>
    <t xml:space="preserve">19:01:56</t>
  </si>
  <si>
    <t xml:space="preserve">20/11/2025</t>
  </si>
  <si>
    <t xml:space="preserve">19:01:33</t>
  </si>
  <si>
    <t xml:space="preserve">20:15:02</t>
  </si>
  <si>
    <t xml:space="preserve">21/11/2025</t>
  </si>
  <si>
    <t xml:space="preserve">07:01:14</t>
  </si>
  <si>
    <t xml:space="preserve">14:01:43</t>
  </si>
  <si>
    <t xml:space="preserve">22/11/2025</t>
  </si>
  <si>
    <t xml:space="preserve">07:00:54</t>
  </si>
  <si>
    <t xml:space="preserve">14:01:15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</si>
</sst>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3" activeCellId="0" sqref="F13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53"/>
    <col collapsed="false" customWidth="true" hidden="false" outlineLevel="0" max="3" min="3" style="1" width="22.12"/>
    <col collapsed="false" customWidth="true" hidden="false" outlineLevel="0" max="4" min="4" style="1" width="9.87"/>
    <col collapsed="false" customWidth="true" hidden="false" outlineLevel="0" max="5" min="5" style="1" width="13.35"/>
    <col collapsed="false" customWidth="true" hidden="false" outlineLevel="0" max="6" min="6" style="1" width="15.16"/>
    <col collapsed="false" customWidth="true" hidden="false" outlineLevel="0" max="7" min="7" style="1" width="19.33"/>
    <col collapsed="false" customWidth="true" hidden="false" outlineLevel="0" max="8" min="8" style="1" width="22.25"/>
    <col collapsed="false" customWidth="false" hidden="false" outlineLevel="0" max="9" min="9" style="1" width="11.53"/>
    <col collapsed="false" customWidth="true" hidden="false" outlineLevel="0" max="10" min="10" style="1" width="16.27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6.53"/>
    <col collapsed="false" customWidth="true" hidden="false" outlineLevel="0" max="14" min="14" style="1" width="9.04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4" t="s">
        <v>15</v>
      </c>
      <c r="C2" s="4" t="n">
        <v>20</v>
      </c>
      <c r="D2" s="4" t="n">
        <v>3</v>
      </c>
      <c r="E2" s="4" t="s">
        <v>16</v>
      </c>
      <c r="F2" s="4" t="s">
        <v>17</v>
      </c>
      <c r="G2" s="4" t="s">
        <v>18</v>
      </c>
      <c r="H2" s="4" t="s">
        <v>19</v>
      </c>
      <c r="I2" s="5" t="n">
        <f aca="false">MIN(A4:A9999)</f>
        <v>2.038</v>
      </c>
      <c r="J2" s="6" t="n">
        <f aca="false">SUMPRODUCT(A4:A9999,B4:B9999)/SUM(B4:B9999)</f>
        <v>2.19995833333749</v>
      </c>
      <c r="K2" s="5" t="n">
        <f aca="false">J2*(1+(C2/100))</f>
        <v>2.63995000000498</v>
      </c>
      <c r="L2" s="6" t="n">
        <f aca="false">SUM(B4:B9999)</f>
        <v>24.0000000000001</v>
      </c>
      <c r="M2" s="7" t="n">
        <f aca="false">COUNTA(A1:A9999)</f>
        <v>17</v>
      </c>
      <c r="N2" s="8" t="n">
        <v>18</v>
      </c>
    </row>
    <row r="3" customFormat="false" ht="12.75" hidden="false" customHeight="true" outlineLevel="0" collapsed="false">
      <c r="A3" s="9" t="s">
        <v>20</v>
      </c>
      <c r="B3" s="9" t="s">
        <v>21</v>
      </c>
      <c r="C3" s="9" t="s">
        <v>22</v>
      </c>
      <c r="D3" s="9" t="s">
        <v>23</v>
      </c>
      <c r="E3" s="10"/>
      <c r="I3" s="10"/>
    </row>
    <row r="4" customFormat="false" ht="12.75" hidden="false" customHeight="true" outlineLevel="0" collapsed="false">
      <c r="A4" s="11" t="n">
        <v>999</v>
      </c>
      <c r="B4" s="11" t="n">
        <v>1E-013</v>
      </c>
      <c r="C4" s="12"/>
      <c r="D4" s="13"/>
      <c r="G4" s="10"/>
      <c r="H4" s="1" t="s">
        <v>24</v>
      </c>
    </row>
    <row r="5" customFormat="false" ht="12.75" hidden="false" customHeight="true" outlineLevel="0" collapsed="false">
      <c r="A5" s="14" t="n">
        <v>2.512</v>
      </c>
      <c r="B5" s="14" t="n">
        <v>1</v>
      </c>
      <c r="C5" s="15" t="s">
        <v>25</v>
      </c>
      <c r="D5" s="16" t="s">
        <v>26</v>
      </c>
    </row>
    <row r="6" customFormat="false" ht="12.75" hidden="false" customHeight="true" outlineLevel="0" collapsed="false">
      <c r="A6" s="14" t="n">
        <v>2.475</v>
      </c>
      <c r="B6" s="14" t="n">
        <v>1</v>
      </c>
      <c r="C6" s="16" t="s">
        <v>27</v>
      </c>
      <c r="D6" s="16" t="s">
        <v>28</v>
      </c>
    </row>
    <row r="7" customFormat="false" ht="12.75" hidden="false" customHeight="true" outlineLevel="0" collapsed="false">
      <c r="A7" s="14" t="n">
        <v>2.41</v>
      </c>
      <c r="B7" s="14" t="n">
        <v>1</v>
      </c>
      <c r="C7" s="16" t="s">
        <v>29</v>
      </c>
      <c r="D7" s="16" t="s">
        <v>30</v>
      </c>
    </row>
    <row r="8" customFormat="false" ht="12.75" hidden="false" customHeight="true" outlineLevel="0" collapsed="false">
      <c r="A8" s="14" t="n">
        <v>2.353</v>
      </c>
      <c r="B8" s="14" t="n">
        <v>1</v>
      </c>
      <c r="C8" s="16" t="s">
        <v>29</v>
      </c>
      <c r="D8" s="16" t="s">
        <v>31</v>
      </c>
    </row>
    <row r="9" customFormat="false" ht="12.75" hidden="false" customHeight="true" outlineLevel="0" collapsed="false">
      <c r="A9" s="16" t="n">
        <v>2.319</v>
      </c>
      <c r="B9" s="16" t="n">
        <v>1</v>
      </c>
      <c r="C9" s="16" t="s">
        <v>32</v>
      </c>
      <c r="D9" s="16" t="s">
        <v>33</v>
      </c>
    </row>
    <row r="10" customFormat="false" ht="12.75" hidden="false" customHeight="true" outlineLevel="0" collapsed="false">
      <c r="A10" s="16" t="n">
        <v>2.313</v>
      </c>
      <c r="B10" s="16" t="n">
        <v>2</v>
      </c>
      <c r="C10" s="16" t="s">
        <v>34</v>
      </c>
      <c r="D10" s="16" t="s">
        <v>35</v>
      </c>
    </row>
    <row r="11" customFormat="false" ht="12.75" hidden="false" customHeight="true" outlineLevel="0" collapsed="false">
      <c r="A11" s="16" t="n">
        <v>2.257</v>
      </c>
      <c r="B11" s="16" t="n">
        <v>2</v>
      </c>
      <c r="C11" s="16" t="s">
        <v>36</v>
      </c>
      <c r="D11" s="16" t="s">
        <v>37</v>
      </c>
    </row>
    <row r="12" customFormat="false" ht="12.75" hidden="false" customHeight="true" outlineLevel="0" collapsed="false">
      <c r="A12" s="16" t="n">
        <v>2.22</v>
      </c>
      <c r="B12" s="16" t="n">
        <v>2</v>
      </c>
      <c r="C12" s="16" t="s">
        <v>38</v>
      </c>
      <c r="D12" s="16" t="s">
        <v>39</v>
      </c>
    </row>
    <row r="13" customFormat="false" ht="12.75" hidden="false" customHeight="true" outlineLevel="0" collapsed="false">
      <c r="A13" s="16" t="n">
        <v>2.2</v>
      </c>
      <c r="B13" s="16" t="n">
        <v>2</v>
      </c>
      <c r="C13" s="16" t="s">
        <v>38</v>
      </c>
      <c r="D13" s="16" t="s">
        <v>40</v>
      </c>
    </row>
    <row r="14" customFormat="false" ht="12.75" hidden="false" customHeight="true" outlineLevel="0" collapsed="false">
      <c r="A14" s="16" t="n">
        <v>2.186</v>
      </c>
      <c r="B14" s="16" t="n">
        <v>2</v>
      </c>
      <c r="C14" s="16" t="s">
        <v>41</v>
      </c>
      <c r="D14" s="16" t="s">
        <v>42</v>
      </c>
    </row>
    <row r="15" customFormat="false" ht="12.75" hidden="false" customHeight="false" outlineLevel="0" collapsed="false">
      <c r="A15" s="16" t="n">
        <v>2.046</v>
      </c>
      <c r="B15" s="16" t="n">
        <v>3</v>
      </c>
      <c r="C15" s="16" t="s">
        <v>41</v>
      </c>
      <c r="D15" s="16" t="s">
        <v>43</v>
      </c>
    </row>
    <row r="16" customFormat="false" ht="12.75" hidden="false" customHeight="false" outlineLevel="0" collapsed="false">
      <c r="A16" s="16" t="n">
        <v>2.042</v>
      </c>
      <c r="B16" s="16" t="n">
        <v>3</v>
      </c>
      <c r="C16" s="16" t="s">
        <v>44</v>
      </c>
      <c r="D16" s="16" t="s">
        <v>45</v>
      </c>
    </row>
    <row r="17" customFormat="false" ht="12.75" hidden="false" customHeight="false" outlineLevel="0" collapsed="false">
      <c r="A17" s="16" t="n">
        <v>2.038</v>
      </c>
      <c r="B17" s="16" t="n">
        <v>3</v>
      </c>
      <c r="C17" s="16" t="s">
        <v>44</v>
      </c>
      <c r="D17" s="16" t="s">
        <v>46</v>
      </c>
    </row>
    <row r="18" customFormat="false" ht="12.75" hidden="false" customHeight="false" outlineLevel="0" collapsed="false">
      <c r="A18" s="16"/>
      <c r="B18" s="16"/>
      <c r="C18" s="16"/>
      <c r="D18" s="16"/>
    </row>
    <row r="19" customFormat="false" ht="12.75" hidden="false" customHeight="false" outlineLevel="0" collapsed="false">
      <c r="A19" s="16"/>
      <c r="B19" s="16"/>
      <c r="C19" s="16"/>
      <c r="D19" s="16"/>
    </row>
    <row r="20" customFormat="false" ht="12.75" hidden="false" customHeight="false" outlineLevel="0" collapsed="false">
      <c r="A20" s="16"/>
      <c r="B20" s="16"/>
      <c r="C20" s="16"/>
      <c r="D20" s="16"/>
    </row>
    <row r="21" customFormat="false" ht="12.75" hidden="false" customHeight="false" outlineLevel="0" collapsed="false">
      <c r="A21" s="16"/>
      <c r="B21" s="16"/>
      <c r="C21" s="16"/>
      <c r="D21" s="16"/>
    </row>
    <row r="22" customFormat="false" ht="12.75" hidden="false" customHeight="false" outlineLevel="0" collapsed="false">
      <c r="A22" s="16"/>
      <c r="B22" s="16"/>
      <c r="C22" s="16"/>
      <c r="D22" s="16"/>
    </row>
    <row r="23" customFormat="false" ht="12.75" hidden="false" customHeight="false" outlineLevel="0" collapsed="false">
      <c r="A23" s="16"/>
      <c r="B23" s="16"/>
      <c r="C23" s="16"/>
      <c r="D23" s="16"/>
    </row>
    <row r="24" customFormat="false" ht="12.75" hidden="false" customHeight="false" outlineLevel="0" collapsed="false">
      <c r="A24" s="16"/>
      <c r="B24" s="16"/>
      <c r="C24" s="16"/>
      <c r="D24" s="16"/>
    </row>
    <row r="25" customFormat="false" ht="12.75" hidden="false" customHeight="false" outlineLevel="0" collapsed="false">
      <c r="A25" s="16"/>
      <c r="B25" s="16"/>
      <c r="C25" s="16"/>
      <c r="D25" s="16"/>
    </row>
    <row r="26" customFormat="false" ht="12.75" hidden="false" customHeight="false" outlineLevel="0" collapsed="false">
      <c r="A26" s="16"/>
      <c r="B26" s="16"/>
      <c r="C26" s="16"/>
      <c r="D26" s="16"/>
    </row>
    <row r="27" customFormat="false" ht="12.75" hidden="false" customHeight="false" outlineLevel="0" collapsed="false">
      <c r="A27" s="16"/>
      <c r="B27" s="16"/>
      <c r="C27" s="16"/>
      <c r="D27" s="16"/>
    </row>
    <row r="28" customFormat="false" ht="12.75" hidden="false" customHeight="false" outlineLevel="0" collapsed="false">
      <c r="A28" s="16"/>
      <c r="B28" s="16"/>
      <c r="C28" s="16"/>
      <c r="D28" s="16"/>
    </row>
    <row r="29" customFormat="false" ht="12.75" hidden="false" customHeight="false" outlineLevel="0" collapsed="false">
      <c r="A29" s="16"/>
      <c r="B29" s="16"/>
      <c r="C29" s="16"/>
      <c r="D29" s="16"/>
    </row>
    <row r="30" customFormat="false" ht="12.75" hidden="false" customHeight="false" outlineLevel="0" collapsed="false">
      <c r="A30" s="16"/>
      <c r="B30" s="16"/>
      <c r="C30" s="16"/>
      <c r="D30" s="16"/>
    </row>
    <row r="31" customFormat="false" ht="12.75" hidden="false" customHeight="false" outlineLevel="0" collapsed="false">
      <c r="A31" s="16"/>
      <c r="B31" s="16"/>
      <c r="C31" s="16"/>
      <c r="D31" s="16"/>
    </row>
    <row r="32" customFormat="false" ht="12.75" hidden="false" customHeight="false" outlineLevel="0" collapsed="false">
      <c r="A32" s="16"/>
      <c r="B32" s="16"/>
      <c r="C32" s="16"/>
      <c r="D32" s="16"/>
    </row>
    <row r="33" customFormat="false" ht="12.75" hidden="false" customHeight="false" outlineLevel="0" collapsed="false">
      <c r="A33" s="16"/>
      <c r="B33" s="16"/>
      <c r="C33" s="16"/>
      <c r="D33" s="16"/>
    </row>
    <row r="34" customFormat="false" ht="12.75" hidden="false" customHeight="false" outlineLevel="0" collapsed="false">
      <c r="A34" s="16"/>
      <c r="B34" s="16"/>
      <c r="C34" s="16"/>
      <c r="D34" s="16"/>
    </row>
    <row r="35" customFormat="false" ht="12.75" hidden="false" customHeight="false" outlineLevel="0" collapsed="false">
      <c r="A35" s="16"/>
      <c r="B35" s="16"/>
      <c r="C35" s="16"/>
      <c r="D35" s="16"/>
    </row>
    <row r="36" customFormat="false" ht="12.75" hidden="false" customHeight="false" outlineLevel="0" collapsed="false">
      <c r="A36" s="16"/>
      <c r="B36" s="16"/>
      <c r="C36" s="16"/>
      <c r="D36" s="16"/>
    </row>
    <row r="37" customFormat="false" ht="12.75" hidden="false" customHeight="false" outlineLevel="0" collapsed="false">
      <c r="A37" s="16"/>
      <c r="B37" s="16"/>
      <c r="C37" s="16"/>
      <c r="D37" s="16"/>
    </row>
    <row r="38" customFormat="false" ht="12.75" hidden="false" customHeight="false" outlineLevel="0" collapsed="false">
      <c r="A38" s="16"/>
      <c r="B38" s="16"/>
      <c r="C38" s="16"/>
      <c r="D38" s="16"/>
    </row>
    <row r="39" customFormat="false" ht="12.75" hidden="false" customHeight="false" outlineLevel="0" collapsed="false">
      <c r="A39" s="16"/>
      <c r="B39" s="16"/>
      <c r="C39" s="16"/>
      <c r="D39" s="16"/>
    </row>
    <row r="40" customFormat="false" ht="12.75" hidden="false" customHeight="false" outlineLevel="0" collapsed="false">
      <c r="A40" s="16"/>
      <c r="B40" s="16"/>
      <c r="C40" s="16"/>
      <c r="D40" s="16"/>
    </row>
    <row r="41" customFormat="false" ht="12.75" hidden="false" customHeight="false" outlineLevel="0" collapsed="false">
      <c r="A41" s="16"/>
      <c r="B41" s="16"/>
      <c r="C41" s="16"/>
      <c r="D41" s="16"/>
    </row>
    <row r="42" customFormat="false" ht="12.75" hidden="false" customHeight="false" outlineLevel="0" collapsed="false">
      <c r="A42" s="16"/>
      <c r="B42" s="16"/>
      <c r="C42" s="16"/>
      <c r="D42" s="16"/>
    </row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2025-11-22T21:05:41Z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