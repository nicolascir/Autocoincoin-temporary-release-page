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cha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dd/mm/yy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2" borderId="1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0" fillId="7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2" borderId="1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0" fillId="7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99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33" activeCellId="0" sqref="A1:D33"/>
    </sheetView>
  </sheetViews>
  <sheetFormatPr baseColWidth="8" defaultColWidth="11.53515625" defaultRowHeight="12.75" customHeight="1" zeroHeight="0" outlineLevelRow="0"/>
  <cols>
    <col width="11.53" customWidth="1" style="15" min="1" max="1"/>
    <col width="22.53" customWidth="1" style="15" min="2" max="2"/>
    <col width="22.12" customWidth="1" style="15" min="3" max="3"/>
    <col width="9.869999999999999" customWidth="1" style="15" min="4" max="4"/>
    <col width="13.35" customWidth="1" style="15" min="5" max="5"/>
    <col width="15.16" customWidth="1" style="15" min="6" max="6"/>
    <col width="19.33" customWidth="1" style="15" min="7" max="7"/>
    <col width="22.25" customWidth="1" style="15" min="8" max="8"/>
    <col width="11.53" customWidth="1" style="15" min="9" max="9"/>
    <col width="16.27" customWidth="1" style="15" min="10" max="10"/>
    <col width="11.53" customWidth="1" style="15" min="11" max="11"/>
    <col width="11.26" customWidth="1" style="15" min="12" max="12"/>
    <col width="6.53" customWidth="1" style="15" min="13" max="13"/>
    <col width="9.039999999999999" customWidth="1" style="15" min="14" max="14"/>
    <col width="11.53" customWidth="1" style="15" min="15" max="17"/>
    <col width="19.61" customWidth="1" style="15" min="18" max="18"/>
    <col width="11.53" customWidth="1" style="15" min="19" max="16384"/>
  </cols>
  <sheetData>
    <row r="1" ht="12.75" customHeight="1" s="16">
      <c r="A1" s="17" t="inlineStr">
        <is>
          <t>nom</t>
        </is>
      </c>
      <c r="B1" s="17" t="inlineStr">
        <is>
          <t>adress</t>
        </is>
      </c>
      <c r="C1" s="17" t="inlineStr">
        <is>
          <t>poucent que je gagnerai</t>
        </is>
      </c>
      <c r="D1" s="17" t="inlineStr">
        <is>
          <t>combien de dollars j’ajoute a chaque achat</t>
        </is>
      </c>
      <c r="E1" s="17" t="inlineStr">
        <is>
          <t>reseau (base,polygon,bnb)</t>
        </is>
      </c>
      <c r="F1" s="17" t="inlineStr">
        <is>
          <t>symbol</t>
        </is>
      </c>
      <c r="G1" s="17" t="inlineStr">
        <is>
          <t>stable coin de revente</t>
        </is>
      </c>
      <c r="H1" s="17" t="inlineStr">
        <is>
          <t>adress stable</t>
        </is>
      </c>
      <c r="I1" s="17" t="inlineStr">
        <is>
          <t>Mon prix mini</t>
        </is>
      </c>
      <c r="J1" s="17" t="inlineStr">
        <is>
          <t>moyenne pondérée</t>
        </is>
      </c>
      <c r="K1" s="17" t="inlineStr">
        <is>
          <t>revendre a</t>
        </is>
      </c>
      <c r="L1" s="17" t="inlineStr">
        <is>
          <t>total acheté</t>
        </is>
      </c>
      <c r="M1" s="17" t="inlineStr">
        <is>
          <t>nb lignes occupées</t>
        </is>
      </c>
      <c r="N1" s="18" t="inlineStr">
        <is>
          <t>décimale token out</t>
        </is>
      </c>
    </row>
    <row r="2" ht="12.75" customHeight="1" s="16">
      <c r="A2" s="19" t="inlineStr">
        <is>
          <t>pancakeswap</t>
        </is>
      </c>
      <c r="B2" s="19" t="inlineStr">
        <is>
          <t>0x3055913c90Fcc1A6CE9a358911721eEb942013A1</t>
        </is>
      </c>
      <c r="C2" s="19" t="n">
        <v>20</v>
      </c>
      <c r="D2" s="19" t="n">
        <v>2</v>
      </c>
      <c r="E2" s="19" t="inlineStr">
        <is>
          <t>base</t>
        </is>
      </c>
      <c r="F2" s="19" t="inlineStr">
        <is>
          <t>CAKEUSDT</t>
        </is>
      </c>
      <c r="G2" s="19" t="inlineStr">
        <is>
          <t>USDC</t>
        </is>
      </c>
      <c r="H2" s="19" t="inlineStr">
        <is>
          <t>0x833589fCD6eDb6E08f4c7C32D4f71b54bdA02913</t>
        </is>
      </c>
      <c r="I2" s="20">
        <f>MIN(A4:A9999)</f>
        <v/>
      </c>
      <c r="J2" s="21">
        <f>SUMPRODUCT(A4:A9999,B4:B9999)/SUM(B4:B9999)</f>
        <v/>
      </c>
      <c r="K2" s="20">
        <f>J2*(1+(C2/100))</f>
        <v/>
      </c>
      <c r="L2" s="21">
        <f>SUM(B4:B9999)</f>
        <v/>
      </c>
      <c r="M2" s="22">
        <f>COUNTA(A1:A9999)</f>
        <v/>
      </c>
      <c r="N2" s="23" t="n">
        <v>18</v>
      </c>
    </row>
    <row r="3" ht="12.75" customHeight="1" s="16">
      <c r="A3" s="24" t="inlineStr">
        <is>
          <t>VAL dollars</t>
        </is>
      </c>
      <c r="B3" s="24" t="inlineStr">
        <is>
          <t>combien achete</t>
        </is>
      </c>
      <c r="C3" s="24" t="inlineStr">
        <is>
          <t>date</t>
        </is>
      </c>
      <c r="D3" s="24" t="inlineStr">
        <is>
          <t>heure</t>
        </is>
      </c>
      <c r="E3" s="25" t="n"/>
      <c r="I3" s="25" t="n"/>
    </row>
    <row r="4" ht="12.75" customHeight="1" s="16">
      <c r="A4" s="26" t="n">
        <v>999</v>
      </c>
      <c r="B4" s="26" t="n">
        <v>1e-13</v>
      </c>
      <c r="C4" s="27" t="n"/>
      <c r="D4" s="28" t="n"/>
      <c r="G4" s="25" t="n"/>
      <c r="H4" s="15" t="inlineStr">
        <is>
          <t>&lt; - initialiser la premiere ligne manuellent : ////valeur cours actuelle ou anticipée crypto/dollars //// 0,00000000001 //// date du jour //// heure</t>
        </is>
      </c>
    </row>
    <row r="5" ht="12.75" customHeight="1" s="16">
      <c r="A5" s="26" t="n">
        <v>2.512</v>
      </c>
      <c r="B5" s="26" t="n">
        <v>1</v>
      </c>
      <c r="C5" s="27" t="inlineStr">
        <is>
          <t>10/11/2025</t>
        </is>
      </c>
      <c r="D5" s="15" t="inlineStr">
        <is>
          <t>21:22:02</t>
        </is>
      </c>
    </row>
    <row r="6" ht="12.75" customHeight="1" s="16">
      <c r="A6" s="26" t="n">
        <v>2.475</v>
      </c>
      <c r="B6" s="26" t="n">
        <v>1</v>
      </c>
      <c r="C6" s="15" t="inlineStr">
        <is>
          <t>12/11/2025</t>
        </is>
      </c>
      <c r="D6" s="15" t="inlineStr">
        <is>
          <t>19:01:01</t>
        </is>
      </c>
    </row>
    <row r="7" ht="12.75" customHeight="1" s="16">
      <c r="A7" s="26" t="n">
        <v>2.41</v>
      </c>
      <c r="B7" s="26" t="n">
        <v>1</v>
      </c>
      <c r="C7" s="15" t="inlineStr">
        <is>
          <t>13/11/2025</t>
        </is>
      </c>
      <c r="D7" s="15" t="inlineStr">
        <is>
          <t>19:03:48</t>
        </is>
      </c>
    </row>
    <row r="8" ht="12.75" customHeight="1" s="16">
      <c r="A8" s="26" t="n">
        <v>2.353</v>
      </c>
      <c r="B8" s="26" t="n">
        <v>1</v>
      </c>
      <c r="C8" s="15" t="inlineStr">
        <is>
          <t>13/11/2025</t>
        </is>
      </c>
      <c r="D8" s="15" t="inlineStr">
        <is>
          <t>21:31:55</t>
        </is>
      </c>
    </row>
    <row r="9" ht="12.75" customHeight="1" s="16">
      <c r="A9" s="15" t="n">
        <v>2.319</v>
      </c>
      <c r="B9" s="15" t="n">
        <v>1</v>
      </c>
      <c r="C9" s="15" t="inlineStr">
        <is>
          <t>14/11/2025</t>
        </is>
      </c>
      <c r="D9" s="15" t="inlineStr">
        <is>
          <t>14:01:39</t>
        </is>
      </c>
    </row>
    <row r="10">
      <c r="A10" s="25" t="n">
        <v>2.313</v>
      </c>
      <c r="B10" s="25" t="n">
        <v>2</v>
      </c>
      <c r="C10" s="25" t="inlineStr">
        <is>
          <t>18/11/2025</t>
        </is>
      </c>
      <c r="D10" s="25" t="inlineStr">
        <is>
          <t>01:01:43</t>
        </is>
      </c>
    </row>
    <row r="11">
      <c r="A11" t="n">
        <v>2.257</v>
      </c>
      <c r="B11" t="n">
        <v>2</v>
      </c>
      <c r="C11" t="inlineStr">
        <is>
          <t>19/11/2025</t>
        </is>
      </c>
      <c r="D11" t="inlineStr">
        <is>
          <t>19:01:56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2025-10-04T22:10:17Z</dcterms:created>
  <dcterms:modified xsi:type="dcterms:W3CDTF">2025-11-19T18:01:56Z</dcterms:modified>
  <cp:revision>33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